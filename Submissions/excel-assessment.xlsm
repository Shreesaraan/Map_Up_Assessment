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-Data-Assessment-F\"/>
    </mc:Choice>
  </mc:AlternateContent>
  <xr:revisionPtr revIDLastSave="0" documentId="13_ncr:1_{AE33D347-18B0-40C5-B0EB-15E8881AF18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D12" i="19"/>
  <c r="D13" i="19"/>
  <c r="D22" i="19" s="1" a="1"/>
  <c r="D22" i="19" s="1"/>
  <c r="D14" i="19"/>
  <c r="D15" i="19"/>
  <c r="D16" i="19"/>
  <c r="D17" i="19"/>
  <c r="D18" i="19"/>
  <c r="D19" i="19"/>
  <c r="D20" i="19"/>
  <c r="D21" i="19"/>
  <c r="C24" i="20"/>
  <c r="C25" i="20"/>
  <c r="C26" i="20"/>
  <c r="C27" i="20"/>
  <c r="C28" i="20"/>
  <c r="C29" i="20"/>
  <c r="C30" i="20"/>
  <c r="C31" i="20"/>
  <c r="C32" i="20"/>
  <c r="C33" i="20"/>
  <c r="C34" i="20"/>
  <c r="C35" i="20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2" i="19" a="1"/>
  <c r="C22" i="19" s="1"/>
  <c r="Y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<sst xmlns="http://schemas.openxmlformats.org/spreadsheetml/2006/main" count="413" uniqueCount="190">
  <si>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</si>
  <si>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</si>
  <si>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</si>
  <si>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</si>
  <si>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</si>
  <si>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</si>
  <si>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</si>
  <si>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</si>
  <si>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</si>
  <si>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</si>
  <si>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</si>
  <si>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</si>
  <si>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</si>
  <si>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</si>
  <si>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</si>
  <si>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</si>
  <si>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</si>
  <si>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</si>
  <si>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</si>
  <si>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</si>
  <si>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</si>
  <si>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</si>
  <si>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</si>
  <si>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</si>
  <si>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</si>
  <si>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</si>
  <si>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</si>
  <si>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</si>
  <si>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</si>
  <si>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</si>
  <si>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</si>
  <si>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</si>
  <si>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</si>
  <si>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</si>
  <si>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</si>
  <si>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</si>
  <si>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</si>
  <si>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</si>
  <si>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</si>
  <si>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</si>
  <si>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</si>
  <si>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</si>
  <si>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</si>
  <si>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</si>
  <si>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</si>
  <si>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</si>
  <si>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</si>
  <si>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</si>
  <si>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</si>
  <si>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</si>
  <si>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</si>
  <si>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</si>
  <si>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</si>
  <si>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</si>
  <si>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</si>
  <si>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</si>
  <si>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</si>
  <si>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</si>
  <si>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</si>
  <si>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</si>
  <si>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</si>
  <si>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</si>
  <si>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</si>
  <si>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</si>
  <si>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</si>
  <si>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</si>
  <si>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</si>
  <si>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</si>
  <si>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</si>
  <si>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</si>
  <si>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</si>
  <si>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</si>
  <si>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</si>
  <si>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</si>
  <si>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</si>
  <si>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</si>
  <si>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</si>
  <si>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</si>
  <si>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</si>
  <si>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</si>
  <si>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</si>
  <si>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</si>
  <si>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</si>
  <si>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</si>
  <si>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</si>
  <si>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</si>
  <si>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</si>
  <si>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</si>
  <si>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</si>
  <si>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</si>
  <si>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</si>
  <si>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</si>
  <si>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</si>
  <si>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</si>
  <si>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</si>
  <si>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</si>
  <si>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</si>
  <si>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</si>
  <si>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</si>
  <si>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</si>
  <si>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</si>
  <si>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</si>
  <si>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</si>
  <si>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</si>
  <si>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</si>
  <si>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</si>
  <si>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</si>
  <si>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</si>
  <si>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</si>
  <si>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</si>
  <si>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</si>
  <si>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</si>
  <si>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</si>
  <si>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</si>
  <si>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</si>
  <si>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</si>
  <si>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</si>
  <si>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</si>
  <si>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</si>
  <si>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</si>
  <si>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</si>
  <si>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</si>
  <si>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</si>
  <si>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</si>
  <si>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</si>
  <si>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</si>
  <si>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</si>
  <si>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</si>
  <si>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</si>
  <si>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</si>
  <si>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</si>
  <si>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</si>
  <si>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</si>
  <si>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</si>
  <si>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</si>
  <si>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</si>
  <si>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</si>
  <si>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</si>
  <si>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</si>
  <si>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</si>
  <si>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</si>
  <si>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</si>
  <si>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</si>
  <si>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</si>
  <si>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</si>
  <si>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</si>
  <si>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</si>
  <si>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</si>
  <si>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</si>
  <si>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</si>
  <si>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</si>
  <si>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</si>
  <si>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</si>
  <si>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</si>
  <si>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</si>
  <si>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</si>
  <si>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</si>
  <si>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</si>
  <si>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</si>
  <si>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</si>
  <si>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</si>
  <si>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</si>
  <si>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</si>
  <si>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</si>
  <si>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</si>
  <si>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</si>
  <si>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</si>
  <si>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</si>
  <si>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</si>
  <si>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</si>
  <si>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</si>
  <si>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</si>
  <si>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</si>
  <si>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</si>
  <si>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</si>
  <si>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</si>
  <si>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</si>
  <si>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all values greater than '20' in column H</t>
  </si>
  <si>
    <t>text to column</t>
  </si>
  <si>
    <t>It will split the text from the selected column to target columns based on the given delimiter</t>
  </si>
  <si>
    <t>SUM(IF(ISNUMBER(C11:C21), C11:C21, 0))</t>
  </si>
  <si>
    <t>SUMIF(H:H, "&gt;20")</t>
  </si>
  <si>
    <t>It will calculate the sum only if the values given in the range are numeric values and it will ignore other values</t>
  </si>
  <si>
    <t>Updated_Sales</t>
  </si>
  <si>
    <t>INDEX($B$10:$J$18, MATCH(VLOOKUP(A23, $M$10:$N$18, 2, FALSE), $A$10:$A$18, 0), MATCH(VLOOKUP(B23, $M$10:$N$18, 2, FALSE), $A$10:$A$18, 0))</t>
  </si>
  <si>
    <t>1.The first VLOOKUP will look for the matching for name_1 in the Table_C from the Table_B</t>
  </si>
  <si>
    <t>3.The Second VLOOKUP will do the same for the name_2 column of Table_C</t>
  </si>
  <si>
    <t>5.Then by matching those two names, the value corresponding to them will be displayed</t>
  </si>
  <si>
    <t>2.The MATCH will find the corresponding name from the Table_A</t>
  </si>
  <si>
    <t>4.The MATCH will also do the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</si>
</sst>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L1" zoomScaleNormal="100" workbookViewId="0">
      <pane ySplit="1" topLeftCell="A2" activePane="bottomLeft" state="frozen"/>
      <selection pane="bottomLeft" activeCell="A2" sqref="A2:A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6.77734375" style="46" bestFit="1" customWidth="1"/>
    <col min="25" max="25" width="40.21875" style="1" bestFit="1" customWidth="1"/>
    <col min="26" max="16384" width="9" style="1"/>
  </cols>
  <sheetData>
    <row r="1" spans="1:25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  <c r="Y1" s="3" t="s">
        <v>177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  <c r="Y2" s="1">
        <f>SUMIF(H:H, "&gt;20")</f>
        <v>1473.0000000000002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181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J30" sqref="J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 Dataset!A:G, 7, FALSE)</f>
        <v>2.7</v>
      </c>
      <c r="C6" s="12">
        <f>VLOOKUP(A6, Dataset!A:N, 14, FALSE)</f>
        <v>7.6</v>
      </c>
      <c r="D6" s="12">
        <f>VLOOKUP(A6, Dataset!A:R, 18, FALSE)</f>
        <v>4.2</v>
      </c>
      <c r="E6" s="12">
        <f>VLOOKUP(A6, Dataset!A:T, 20, FALSE)</f>
        <v>8.9</v>
      </c>
      <c r="F6" s="8">
        <f>VLOOKUP(A6, Dataset!A:V, 22, FALSE)</f>
        <v>4.2</v>
      </c>
    </row>
    <row r="7" spans="1:7" ht="14.4" x14ac:dyDescent="0.3">
      <c r="A7" s="7" t="s">
        <v>4</v>
      </c>
      <c r="B7" s="12">
        <f>VLOOKUP(A7, Dataset!A:G, 7, FALSE)</f>
        <v>2.7</v>
      </c>
      <c r="C7" s="12">
        <f>VLOOKUP(A7, Dataset!A:N, 14, FALSE)</f>
        <v>7.6</v>
      </c>
      <c r="D7" s="12">
        <f>VLOOKUP(A7, Dataset!A:R, 18, FALSE)</f>
        <v>4.2</v>
      </c>
      <c r="E7" s="12">
        <f>VLOOKUP(A7, Dataset!A:T, 20, FALSE)</f>
        <v>8.9</v>
      </c>
      <c r="F7" s="8">
        <f>VLOOKUP(A7, Dataset!A:V, 22, FALSE)</f>
        <v>4.2</v>
      </c>
    </row>
    <row r="8" spans="1:7" ht="14.4" x14ac:dyDescent="0.3">
      <c r="A8" s="7" t="s">
        <v>7</v>
      </c>
      <c r="B8" s="12">
        <f>VLOOKUP(A8, Dataset!A:G, 7, FALSE)</f>
        <v>3.6</v>
      </c>
      <c r="C8" s="12">
        <f>VLOOKUP(A8, Dataset!A:N, 14, FALSE)</f>
        <v>11.1</v>
      </c>
      <c r="D8" s="12">
        <f>VLOOKUP(A8, Dataset!A:R, 18, FALSE)</f>
        <v>5.8</v>
      </c>
      <c r="E8" s="12">
        <f>VLOOKUP(A8, Dataset!A:T, 20, FALSE)</f>
        <v>12.2</v>
      </c>
      <c r="F8" s="8">
        <f>VLOOKUP(A8, Dataset!A:V, 22, FALSE)</f>
        <v>5.8</v>
      </c>
    </row>
    <row r="9" spans="1:7" ht="14.4" x14ac:dyDescent="0.3">
      <c r="A9" s="7" t="s">
        <v>8</v>
      </c>
      <c r="B9" s="12">
        <f>VLOOKUP(A9, Dataset!A:G, 7, FALSE)</f>
        <v>4.9000000000000004</v>
      </c>
      <c r="C9" s="12">
        <f>VLOOKUP(A9, Dataset!A:N, 14, FALSE)</f>
        <v>13.3</v>
      </c>
      <c r="D9" s="12">
        <f>VLOOKUP(A9, Dataset!A:R, 18, FALSE)</f>
        <v>8.1</v>
      </c>
      <c r="E9" s="12">
        <f>VLOOKUP(A9, Dataset!A:T, 20, FALSE)</f>
        <v>17</v>
      </c>
      <c r="F9" s="8">
        <f>VLOOKUP(A9, Dataset!A:V, 22, FALSE)</f>
        <v>8.1</v>
      </c>
    </row>
    <row r="10" spans="1:7" ht="14.4" x14ac:dyDescent="0.3">
      <c r="A10" s="7" t="s">
        <v>11</v>
      </c>
      <c r="B10" s="12">
        <f>VLOOKUP(A10, Dataset!A:G, 7, FALSE)</f>
        <v>9.4</v>
      </c>
      <c r="C10" s="12">
        <f>VLOOKUP(A10, Dataset!A:N, 14, FALSE)</f>
        <v>28.3</v>
      </c>
      <c r="D10" s="12">
        <f>VLOOKUP(A10, Dataset!A:R, 18, FALSE)</f>
        <v>16.100000000000001</v>
      </c>
      <c r="E10" s="12">
        <f>VLOOKUP(A10, Dataset!A:T, 20, FALSE)</f>
        <v>32.799999999999997</v>
      </c>
      <c r="F10" s="8">
        <f>VLOOKUP(A10, Dataset!A:V, 22, FALSE)</f>
        <v>16.100000000000001</v>
      </c>
    </row>
    <row r="11" spans="1:7" ht="14.4" x14ac:dyDescent="0.3">
      <c r="A11" s="7" t="s">
        <v>12</v>
      </c>
      <c r="B11" s="12">
        <f>VLOOKUP(A11, Dataset!A:G, 7, FALSE)</f>
        <v>11.6</v>
      </c>
      <c r="C11" s="12">
        <f>VLOOKUP(A11, Dataset!A:N, 14, FALSE)</f>
        <v>35.200000000000003</v>
      </c>
      <c r="D11" s="12">
        <f>VLOOKUP(A11, Dataset!A:R, 18, FALSE)</f>
        <v>21.3</v>
      </c>
      <c r="E11" s="12">
        <f>VLOOKUP(A11, Dataset!A:T, 20, FALSE)</f>
        <v>43</v>
      </c>
      <c r="F11" s="8">
        <f>VLOOKUP(A11, Dataset!A:V, 22, FALSE)</f>
        <v>21.3</v>
      </c>
    </row>
    <row r="12" spans="1:7" ht="14.4" x14ac:dyDescent="0.3">
      <c r="A12" s="7" t="s">
        <v>14</v>
      </c>
      <c r="B12" s="12">
        <f>VLOOKUP(A12, Dataset!A:G, 7, FALSE)</f>
        <v>18.399999999999999</v>
      </c>
      <c r="C12" s="12">
        <f>VLOOKUP(A12, Dataset!A:N, 14, FALSE)</f>
        <v>55.6</v>
      </c>
      <c r="D12" s="12">
        <f>VLOOKUP(A12, Dataset!A:R, 18, FALSE)</f>
        <v>33.799999999999997</v>
      </c>
      <c r="E12" s="12">
        <f>VLOOKUP(A12, Dataset!A:T, 20, FALSE)</f>
        <v>67.900000000000006</v>
      </c>
      <c r="F12" s="8">
        <f>VLOOKUP(A12, Dataset!A:V, 22, FALSE)</f>
        <v>33.799999999999997</v>
      </c>
    </row>
    <row r="13" spans="1:7" ht="14.4" x14ac:dyDescent="0.3">
      <c r="A13" s="7" t="s">
        <v>15</v>
      </c>
      <c r="B13" s="12">
        <f>VLOOKUP(A13, Dataset!A:G, 7, FALSE)</f>
        <v>0</v>
      </c>
      <c r="C13" s="12">
        <f>VLOOKUP(A13, Dataset!A:N, 14, FALSE)</f>
        <v>0</v>
      </c>
      <c r="D13" s="12">
        <f>VLOOKUP(A13, Dataset!A:R, 18, FALSE)</f>
        <v>0</v>
      </c>
      <c r="E13" s="12">
        <f>VLOOKUP(A13, Dataset!A:T, 20, FALSE)</f>
        <v>0</v>
      </c>
      <c r="F13" s="8">
        <f>VLOOKUP(A13, Dataset!A:V, 22, FALSE)</f>
        <v>0</v>
      </c>
    </row>
    <row r="14" spans="1:7" ht="14.4" x14ac:dyDescent="0.3">
      <c r="A14" s="7" t="s">
        <v>16</v>
      </c>
      <c r="B14" s="12">
        <f>VLOOKUP(A14, Dataset!A:G, 7, FALSE)</f>
        <v>21.9</v>
      </c>
      <c r="C14" s="12">
        <f>VLOOKUP(A14, Dataset!A:N, 14, FALSE)</f>
        <v>61.5</v>
      </c>
      <c r="D14" s="12">
        <f>VLOOKUP(A14, Dataset!A:R, 18, FALSE)</f>
        <v>40.1</v>
      </c>
      <c r="E14" s="12">
        <f>VLOOKUP(A14, Dataset!A:T, 20, FALSE)</f>
        <v>76.599999999999994</v>
      </c>
      <c r="F14" s="8">
        <f>VLOOKUP(A14, Dataset!A:V, 22, FALSE)</f>
        <v>40.1</v>
      </c>
    </row>
    <row r="15" spans="1:7" ht="14.4" x14ac:dyDescent="0.3">
      <c r="A15" s="7" t="s">
        <v>18</v>
      </c>
      <c r="B15" s="12">
        <f>VLOOKUP(A15, Dataset!A:G, 7, FALSE)</f>
        <v>26.8</v>
      </c>
      <c r="C15" s="12">
        <f>VLOOKUP(A15, Dataset!A:N, 14, FALSE)</f>
        <v>79.599999999999994</v>
      </c>
      <c r="D15" s="12">
        <f>VLOOKUP(A15, Dataset!A:R, 18, FALSE)</f>
        <v>47.9</v>
      </c>
      <c r="E15" s="12">
        <f>VLOOKUP(A15, Dataset!A:T, 20, FALSE)</f>
        <v>96.8</v>
      </c>
      <c r="F15" s="8">
        <f>VLOOKUP(A15, Dataset!A:V, 22, FALSE)</f>
        <v>47.9</v>
      </c>
    </row>
    <row r="16" spans="1:7" ht="14.4" x14ac:dyDescent="0.3">
      <c r="A16" s="7" t="s">
        <v>20</v>
      </c>
      <c r="B16" s="12">
        <f>VLOOKUP(A16, Dataset!A:G, 7, FALSE)</f>
        <v>28.5</v>
      </c>
      <c r="C16" s="12">
        <f>VLOOKUP(A16, Dataset!A:N, 14, FALSE)</f>
        <v>85.4</v>
      </c>
      <c r="D16" s="12">
        <f>VLOOKUP(A16, Dataset!A:R, 18, FALSE)</f>
        <v>52.3</v>
      </c>
      <c r="E16" s="12">
        <f>VLOOKUP(A16, Dataset!A:T, 20, FALSE)</f>
        <v>106.1</v>
      </c>
      <c r="F16" s="8">
        <f>VLOOKUP(A16, Dataset!A:V, 22, FALSE)</f>
        <v>52.3</v>
      </c>
    </row>
    <row r="17" spans="1:6" ht="14.4" x14ac:dyDescent="0.3">
      <c r="A17" s="7" t="s">
        <v>22</v>
      </c>
      <c r="B17" s="12">
        <f>VLOOKUP(A17, Dataset!A:G, 7, FALSE)</f>
        <v>30.7</v>
      </c>
      <c r="C17" s="12">
        <f>VLOOKUP(A17, Dataset!A:N, 14, FALSE)</f>
        <v>92.1</v>
      </c>
      <c r="D17" s="12">
        <f>VLOOKUP(A17, Dataset!A:R, 18, FALSE)</f>
        <v>57</v>
      </c>
      <c r="E17" s="12">
        <f>VLOOKUP(A17, Dataset!A:T, 20, FALSE)</f>
        <v>115.1</v>
      </c>
      <c r="F17" s="8">
        <f>VLOOKUP(A17, Dataset!A:V, 22, FALSE)</f>
        <v>57</v>
      </c>
    </row>
    <row r="18" spans="1:6" ht="14.4" x14ac:dyDescent="0.3">
      <c r="A18" s="7" t="s">
        <v>23</v>
      </c>
      <c r="B18" s="12">
        <f>VLOOKUP(A18, Dataset!A:G, 7, FALSE)</f>
        <v>33.799999999999997</v>
      </c>
      <c r="C18" s="12">
        <f>VLOOKUP(A18, Dataset!A:N, 14, FALSE)</f>
        <v>101.3</v>
      </c>
      <c r="D18" s="12">
        <f>VLOOKUP(A18, Dataset!A:R, 18, FALSE)</f>
        <v>61.4</v>
      </c>
      <c r="E18" s="12">
        <f>VLOOKUP(A18, Dataset!A:T, 20, FALSE)</f>
        <v>124.4</v>
      </c>
      <c r="F18" s="8">
        <f>VLOOKUP(A18, Dataset!A:V, 22, FALSE)</f>
        <v>61.4</v>
      </c>
    </row>
    <row r="19" spans="1:6" ht="14.4" x14ac:dyDescent="0.3">
      <c r="A19" s="7" t="s">
        <v>24</v>
      </c>
      <c r="B19" s="12">
        <f>VLOOKUP(A19, Dataset!A:G, 7, FALSE)</f>
        <v>34.700000000000003</v>
      </c>
      <c r="C19" s="12">
        <f>VLOOKUP(A19, Dataset!A:N, 14, FALSE)</f>
        <v>106.1</v>
      </c>
      <c r="D19" s="12">
        <f>VLOOKUP(A19, Dataset!A:R, 18, FALSE)</f>
        <v>63.6</v>
      </c>
      <c r="E19" s="12">
        <f>VLOOKUP(A19, Dataset!A:T, 20, FALSE)</f>
        <v>128.6</v>
      </c>
      <c r="F19" s="8">
        <f>VLOOKUP(A19, Dataset!A:V, 22, FALSE)</f>
        <v>63.6</v>
      </c>
    </row>
    <row r="20" spans="1:6" ht="14.4" x14ac:dyDescent="0.3">
      <c r="A20" s="7" t="s">
        <v>28</v>
      </c>
      <c r="B20" s="12">
        <f>VLOOKUP(A20, Dataset!A:G, 7, FALSE)</f>
        <v>0</v>
      </c>
      <c r="C20" s="12">
        <f>VLOOKUP(A20, Dataset!A:N, 14, FALSE)</f>
        <v>0</v>
      </c>
      <c r="D20" s="12">
        <f>VLOOKUP(A20, Dataset!A:R, 18, FALSE)</f>
        <v>0</v>
      </c>
      <c r="E20" s="12">
        <f>VLOOKUP(A20, Dataset!A:T, 20, FALSE)</f>
        <v>0</v>
      </c>
      <c r="F20" s="8">
        <f>VLOOKUP(A20, Dataset!A:V, 22, FALSE)</f>
        <v>0</v>
      </c>
    </row>
    <row r="21" spans="1:6" ht="14.4" x14ac:dyDescent="0.3">
      <c r="A21" s="7" t="s">
        <v>57</v>
      </c>
      <c r="B21" s="12">
        <f>VLOOKUP(A21, Dataset!A:G, 7, FALSE)</f>
        <v>41.3</v>
      </c>
      <c r="C21" s="12">
        <f>VLOOKUP(A21, Dataset!A:N, 14, FALSE)</f>
        <v>124.4</v>
      </c>
      <c r="D21" s="12">
        <f>VLOOKUP(A21, Dataset!A:R, 18, FALSE)</f>
        <v>75</v>
      </c>
      <c r="E21" s="12">
        <f>VLOOKUP(A21, Dataset!A:T, 20, FALSE)</f>
        <v>151.5</v>
      </c>
      <c r="F21" s="8">
        <f>VLOOKUP(A21, Dataset!A:V, 22, FALSE)</f>
        <v>75</v>
      </c>
    </row>
    <row r="22" spans="1:6" ht="14.4" x14ac:dyDescent="0.3">
      <c r="A22" s="7" t="s">
        <v>58</v>
      </c>
      <c r="B22" s="12">
        <f>VLOOKUP(A22, Dataset!A:G, 7, FALSE)</f>
        <v>-1</v>
      </c>
      <c r="C22" s="12">
        <f>VLOOKUP(A22, Dataset!A:N, 14, FALSE)</f>
        <v>-1</v>
      </c>
      <c r="D22" s="12">
        <f>VLOOKUP(A22, Dataset!A:R, 18, FALSE)</f>
        <v>-1</v>
      </c>
      <c r="E22" s="12">
        <f>VLOOKUP(A22, Dataset!A:T, 20, FALSE)</f>
        <v>-1</v>
      </c>
      <c r="F22" s="8">
        <f>VLOOKUP(A22, Dataset!A:V, 22, FALSE)</f>
        <v>-1</v>
      </c>
    </row>
    <row r="23" spans="1:6" ht="14.4" x14ac:dyDescent="0.3">
      <c r="A23" s="7" t="s">
        <v>31</v>
      </c>
      <c r="B23" s="12">
        <f>VLOOKUP(A23, Dataset!A:G, 7, FALSE)</f>
        <v>45</v>
      </c>
      <c r="C23" s="12">
        <f>VLOOKUP(A23, Dataset!A:N, 14, FALSE)</f>
        <v>133.4</v>
      </c>
      <c r="D23" s="12">
        <f>VLOOKUP(A23, Dataset!A:R, 18, FALSE)</f>
        <v>79.400000000000006</v>
      </c>
      <c r="E23" s="12">
        <f>VLOOKUP(A23, Dataset!A:T, 20, FALSE)</f>
        <v>160.9</v>
      </c>
      <c r="F23" s="8">
        <f>VLOOKUP(A23, Dataset!A:V, 22, FALSE)</f>
        <v>79.400000000000006</v>
      </c>
    </row>
    <row r="24" spans="1:6" ht="14.4" x14ac:dyDescent="0.3">
      <c r="A24" s="7" t="s">
        <v>32</v>
      </c>
      <c r="B24" s="12">
        <f>VLOOKUP(A24, Dataset!A:G, 7, FALSE)</f>
        <v>-1</v>
      </c>
      <c r="C24" s="12">
        <f>VLOOKUP(A24, Dataset!A:N, 14, FALSE)</f>
        <v>-1</v>
      </c>
      <c r="D24" s="12">
        <f>VLOOKUP(A24, Dataset!A:R, 18, FALSE)</f>
        <v>-1</v>
      </c>
      <c r="E24" s="12">
        <f>VLOOKUP(A24, Dataset!A:T, 20, FALSE)</f>
        <v>-1</v>
      </c>
      <c r="F24" s="8">
        <f>VLOOKUP(A24, Dataset!A:V, 22, FALSE)</f>
        <v>-1</v>
      </c>
    </row>
    <row r="25" spans="1:6" ht="14.4" x14ac:dyDescent="0.3">
      <c r="A25" s="7" t="s">
        <v>34</v>
      </c>
      <c r="B25" s="12">
        <f>VLOOKUP(A25, Dataset!A:G, 7, FALSE)</f>
        <v>43.3</v>
      </c>
      <c r="C25" s="12">
        <f>VLOOKUP(A25, Dataset!A:N, 14, FALSE)</f>
        <v>128.6</v>
      </c>
      <c r="D25" s="12">
        <f>VLOOKUP(A25, Dataset!A:R, 18, FALSE)</f>
        <v>79.400000000000006</v>
      </c>
      <c r="E25" s="12">
        <f>VLOOKUP(A25, Dataset!A:T, 20, FALSE)</f>
        <v>160.9</v>
      </c>
      <c r="F25" s="8">
        <f>VLOOKUP(A25, Dataset!A:V, 22, FALSE)</f>
        <v>79.400000000000006</v>
      </c>
    </row>
    <row r="26" spans="1:6" ht="14.4" x14ac:dyDescent="0.3">
      <c r="A26" s="7" t="s">
        <v>37</v>
      </c>
      <c r="B26" s="12">
        <f>VLOOKUP(A26, Dataset!A:G, 7, FALSE)</f>
        <v>49.1</v>
      </c>
      <c r="C26" s="12">
        <f>VLOOKUP(A26, Dataset!A:N, 14, FALSE)</f>
        <v>146.80000000000001</v>
      </c>
      <c r="D26" s="12">
        <f>VLOOKUP(A26, Dataset!A:R, 18, FALSE)</f>
        <v>90.9</v>
      </c>
      <c r="E26" s="12">
        <f>VLOOKUP(A26, Dataset!A:T, 20, FALSE)</f>
        <v>183.5</v>
      </c>
      <c r="F26" s="8">
        <f>VLOOKUP(A26, Dataset!A:V, 22, FALSE)</f>
        <v>90.9</v>
      </c>
    </row>
    <row r="27" spans="1:6" ht="14.4" x14ac:dyDescent="0.3">
      <c r="A27" s="7" t="s">
        <v>39</v>
      </c>
      <c r="B27" s="12">
        <f>VLOOKUP(A27, Dataset!A:G, 7, FALSE)</f>
        <v>51.8</v>
      </c>
      <c r="C27" s="12">
        <f>VLOOKUP(A27, Dataset!A:N, 14, FALSE)</f>
        <v>156.4</v>
      </c>
      <c r="D27" s="12">
        <f>VLOOKUP(A27, Dataset!A:R, 18, FALSE)</f>
        <v>93.1</v>
      </c>
      <c r="E27" s="12">
        <f>VLOOKUP(A27, Dataset!A:T, 20, FALSE)</f>
        <v>188.1</v>
      </c>
      <c r="F27" s="8">
        <f>VLOOKUP(A27, Dataset!A:V, 22, 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153</v>
      </c>
      <c r="B6" s="40" t="s">
        <v>179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F20" sqref="F2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167</v>
      </c>
    </row>
    <row r="2" spans="1:4" ht="18" x14ac:dyDescent="0.35">
      <c r="B2" s="40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180</v>
      </c>
    </row>
    <row r="7" spans="1:4" ht="14.4" x14ac:dyDescent="0.3">
      <c r="A7" s="3" t="s">
        <v>153</v>
      </c>
      <c r="B7" s="1" t="s">
        <v>182</v>
      </c>
    </row>
    <row r="10" spans="1:4" ht="23.4" x14ac:dyDescent="0.45">
      <c r="A10" s="18" t="s">
        <v>162</v>
      </c>
    </row>
    <row r="11" spans="1:4" ht="14.4" x14ac:dyDescent="0.3">
      <c r="A11" s="32" t="s">
        <v>86</v>
      </c>
      <c r="B11" s="17" t="s">
        <v>87</v>
      </c>
      <c r="C11" s="17" t="s">
        <v>88</v>
      </c>
      <c r="D11" s="17" t="s">
        <v>183</v>
      </c>
    </row>
    <row r="12" spans="1:4" ht="14.4" x14ac:dyDescent="0.3">
      <c r="A12" s="32">
        <v>44927</v>
      </c>
      <c r="B12" s="17" t="s">
        <v>59</v>
      </c>
      <c r="C12" s="17">
        <v>200</v>
      </c>
      <c r="D12" s="17">
        <f t="shared" ref="D12:D21" si="0">IFERROR(C12, 20)</f>
        <v>200</v>
      </c>
    </row>
    <row r="13" spans="1:4" ht="14.4" x14ac:dyDescent="0.3">
      <c r="A13" s="32">
        <v>44928</v>
      </c>
      <c r="B13" s="17" t="s">
        <v>60</v>
      </c>
      <c r="C13" s="17" t="e">
        <v>#N/A</v>
      </c>
      <c r="D13" s="17">
        <f t="shared" si="0"/>
        <v>20</v>
      </c>
    </row>
    <row r="14" spans="1:4" ht="14.4" x14ac:dyDescent="0.3">
      <c r="A14" s="32">
        <v>44929</v>
      </c>
      <c r="B14" s="17" t="s">
        <v>61</v>
      </c>
      <c r="C14" s="17">
        <v>50</v>
      </c>
      <c r="D14" s="17">
        <f t="shared" si="0"/>
        <v>50</v>
      </c>
    </row>
    <row r="15" spans="1:4" ht="14.4" x14ac:dyDescent="0.3">
      <c r="A15" s="32">
        <v>44930</v>
      </c>
      <c r="B15" s="17" t="s">
        <v>62</v>
      </c>
      <c r="C15" s="17" t="e">
        <v>#N/A</v>
      </c>
      <c r="D15" s="17">
        <f t="shared" si="0"/>
        <v>20</v>
      </c>
    </row>
    <row r="16" spans="1:4" ht="14.4" x14ac:dyDescent="0.3">
      <c r="A16" s="32">
        <v>44931</v>
      </c>
      <c r="B16" s="17" t="s">
        <v>63</v>
      </c>
      <c r="C16" s="17">
        <v>10</v>
      </c>
      <c r="D16" s="17">
        <f t="shared" si="0"/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17">
        <f t="shared" si="0"/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17">
        <f t="shared" si="0"/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17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17">
        <f t="shared" si="0"/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17">
        <f t="shared" si="0"/>
        <v>20</v>
      </c>
    </row>
    <row r="22" spans="1:4" ht="14.4" x14ac:dyDescent="0.3">
      <c r="B22" s="17" t="s">
        <v>159</v>
      </c>
      <c r="C22" s="25" cm="1">
        <f t="array" ref="C22">SUM(IF(ISNUMBER(C11:C21), C11:C21, 0))</f>
        <v>520</v>
      </c>
      <c r="D22" s="25" cm="1">
        <f t="array" ref="D22">SUM(IF(ISNUMBER(D11:D21), D11:D21, 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21" sqref="L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 t="s">
        <v>184</v>
      </c>
    </row>
    <row r="5" spans="1:14" ht="18" x14ac:dyDescent="0.35">
      <c r="A5" s="43" t="s">
        <v>153</v>
      </c>
      <c r="B5" s="1" t="s">
        <v>185</v>
      </c>
      <c r="J5" s="2" t="s">
        <v>188</v>
      </c>
    </row>
    <row r="6" spans="1:14" ht="14.4" x14ac:dyDescent="0.3">
      <c r="A6" s="3"/>
      <c r="B6" s="1" t="s">
        <v>186</v>
      </c>
      <c r="J6" s="2" t="s">
        <v>189</v>
      </c>
    </row>
    <row r="7" spans="1:14" x14ac:dyDescent="0.3">
      <c r="B7" s="2" t="s">
        <v>187</v>
      </c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 MATCH(VLOOKUP(A23, $M$10:$N$18, 2, FALSE), $A$10:$A$18, 0), MATCH(VLOOKUP(B23, $M$10:$N$18, 2, FALSE), $A$10:$A$18, 0))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INDEX($B$10:$J$18, MATCH(VLOOKUP(A24, $M$10:$N$18, 2, FALSE), $A$10:$A$18, 0), MATCH(VLOOKUP(B24, $M$10:$N$18, 2, FALSE), $A$10:$A$18, 0))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Shreesaraan D</cp:lastModifiedBy>
  <dcterms:created xsi:type="dcterms:W3CDTF">2015-02-10T17:33:11Z</dcterms:created>
  <dcterms:modified xsi:type="dcterms:W3CDTF">2023-12-10T05:34:31Z</dcterms:modified>
</cp:coreProperties>
</file>